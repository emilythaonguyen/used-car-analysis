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milynguyen/Documents/used_car_analysis/"/>
    </mc:Choice>
  </mc:AlternateContent>
  <xr:revisionPtr revIDLastSave="0" documentId="13_ncr:1_{1A0619EC-89D8-124E-AFFE-0E127F8DB787}" xr6:coauthVersionLast="47" xr6:coauthVersionMax="47" xr10:uidLastSave="{00000000-0000-0000-0000-000000000000}"/>
  <bookViews>
    <workbookView xWindow="20" yWindow="640" windowWidth="28800" windowHeight="15800" xr2:uid="{510555A9-2B28-AB48-AE4B-85C17ED5408C}"/>
  </bookViews>
  <sheets>
    <sheet name="used_car_affordability" sheetId="1" r:id="rId1"/>
  </sheets>
  <calcPr calcId="0"/>
</workbook>
</file>

<file path=xl/sharedStrings.xml><?xml version="1.0" encoding="utf-8"?>
<sst xmlns="http://schemas.openxmlformats.org/spreadsheetml/2006/main" count="65" uniqueCount="65">
  <si>
    <t>State</t>
  </si>
  <si>
    <t>Used Car Price</t>
  </si>
  <si>
    <t>Doc Fee</t>
  </si>
  <si>
    <t>Registration Fee</t>
  </si>
  <si>
    <t>Sales Tax</t>
  </si>
  <si>
    <t>Insurance</t>
  </si>
  <si>
    <t>Total Fees</t>
  </si>
  <si>
    <t>Total Cost</t>
  </si>
  <si>
    <t>Used Car Price Rank</t>
  </si>
  <si>
    <t>Sales Tax Rank</t>
  </si>
  <si>
    <t>Doc Fee Rank</t>
  </si>
  <si>
    <t>Registration Fee Rank</t>
  </si>
  <si>
    <t>Insurance Rank</t>
  </si>
  <si>
    <t>Weighted Score</t>
  </si>
  <si>
    <t>Overall Rank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</si>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</sst>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3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/>
    <xf numFmtId="10" fontId="0" fillId="0" borderId="0" xfId="0" applyNumberFormat="1"/>
    <xf numFmtId="3" fontId="0" fillId="0" borderId="0" xfId="0" applyNumberFormat="1"/>
    <xf numFmtId="0" fontId="0" fillId="0" borderId="14" xfId="0" applyBorder="1" applyAlignment="1">
      <alignment horizontal="left"/>
    </xf>
    <xf numFmtId="164" fontId="0" fillId="0" borderId="15" xfId="0" applyNumberFormat="1" applyBorder="1"/>
    <xf numFmtId="164" fontId="0" fillId="0" borderId="0" xfId="0" applyNumberFormat="1" applyAlignment="1">
      <alignment wrapText="1"/>
    </xf>
    <xf numFmtId="0" fontId="0" fillId="0" borderId="16" xfId="0" applyBorder="1" applyAlignment="1">
      <alignment horizontal="left"/>
    </xf>
    <xf numFmtId="164" fontId="0" fillId="0" borderId="10" xfId="0" applyNumberFormat="1" applyBorder="1"/>
    <xf numFmtId="10" fontId="0" fillId="0" borderId="10" xfId="0" applyNumberFormat="1" applyBorder="1"/>
    <xf numFmtId="164" fontId="0" fillId="0" borderId="17" xfId="0" applyNumberFormat="1" applyBorder="1"/>
    <xf numFmtId="3" fontId="0" fillId="0" borderId="14" xfId="0" applyNumberFormat="1" applyBorder="1"/>
    <xf numFmtId="3" fontId="0" fillId="0" borderId="15" xfId="0" applyNumberFormat="1" applyBorder="1"/>
    <xf numFmtId="3" fontId="0" fillId="0" borderId="16" xfId="0" applyNumberFormat="1" applyBorder="1"/>
    <xf numFmtId="3" fontId="0" fillId="0" borderId="10" xfId="0" applyNumberFormat="1" applyBorder="1"/>
    <xf numFmtId="3" fontId="0" fillId="0" borderId="17" xfId="0" applyNumberFormat="1" applyBorder="1"/>
    <xf numFmtId="164" fontId="18" fillId="33" borderId="12" xfId="0" applyNumberFormat="1" applyFont="1" applyFill="1" applyBorder="1"/>
    <xf numFmtId="10" fontId="18" fillId="33" borderId="12" xfId="0" applyNumberFormat="1" applyFont="1" applyFill="1" applyBorder="1"/>
    <xf numFmtId="0" fontId="18" fillId="33" borderId="11" xfId="0" applyFont="1" applyFill="1" applyBorder="1" applyAlignment="1">
      <alignment horizontal="left"/>
    </xf>
    <xf numFmtId="164" fontId="0" fillId="0" borderId="14" xfId="0" applyNumberFormat="1" applyBorder="1"/>
    <xf numFmtId="164" fontId="18" fillId="35" borderId="13" xfId="0" applyNumberFormat="1" applyFont="1" applyFill="1" applyBorder="1"/>
    <xf numFmtId="3" fontId="18" fillId="34" borderId="11" xfId="0" applyNumberFormat="1" applyFont="1" applyFill="1" applyBorder="1"/>
    <xf numFmtId="3" fontId="18" fillId="34" borderId="12" xfId="0" applyNumberFormat="1" applyFont="1" applyFill="1" applyBorder="1"/>
    <xf numFmtId="3" fontId="18" fillId="34" borderId="13" xfId="0" applyNumberFormat="1" applyFont="1" applyFill="1" applyBorder="1"/>
    <xf numFmtId="4" fontId="18" fillId="34" borderId="12" xfId="0" applyNumberFormat="1" applyFont="1" applyFill="1" applyBorder="1"/>
    <xf numFmtId="4" fontId="0" fillId="0" borderId="0" xfId="0" applyNumberFormat="1"/>
    <xf numFmtId="4" fontId="0" fillId="0" borderId="10" xfId="0" applyNumberFormat="1" applyBorder="1"/>
    <xf numFmtId="164" fontId="0" fillId="0" borderId="0" xfId="0" applyNumberFormat="1" applyBorder="1"/>
    <xf numFmtId="10" fontId="0" fillId="0" borderId="0" xfId="0" applyNumberFormat="1" applyBorder="1"/>
    <xf numFmtId="3" fontId="0" fillId="0" borderId="0" xfId="0" applyNumberFormat="1" applyBorder="1"/>
    <xf numFmtId="4" fontId="0" fillId="0" borderId="0" xfId="0" applyNumberFormat="1" applyBorder="1"/>
    <xf numFmtId="164" fontId="18" fillId="35" borderId="14" xfId="0" applyNumberFormat="1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7">
    <dxf>
      <numFmt numFmtId="164" formatCode="&quot;$&quot;#,##0.00"/>
      <border diagonalUp="0" diagonalDown="0">
        <left style="thin">
          <color indexed="64"/>
        </left>
        <right/>
        <top/>
        <bottom/>
        <vertical/>
        <horizontal/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4" formatCode="#,##0.00"/>
    </dxf>
    <dxf>
      <numFmt numFmtId="3" formatCode="#,##0"/>
      <border diagonalUp="0" diagonalDown="0" outline="0">
        <left/>
        <right style="thin">
          <color indexed="64"/>
        </right>
        <top/>
        <bottom/>
      </border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  <border diagonalUp="0" diagonalDown="0">
        <left style="thin">
          <color indexed="64"/>
        </left>
        <right/>
        <top/>
        <bottom/>
        <vertical/>
        <horizontal/>
      </border>
    </dxf>
    <dxf>
      <numFmt numFmtId="164" formatCode="&quot;$&quot;#,##0.00"/>
      <border diagonalUp="0" diagonalDown="0">
        <left/>
        <right style="thin">
          <color indexed="64"/>
        </right>
        <top/>
        <bottom/>
        <vertical/>
        <horizontal/>
      </border>
    </dxf>
    <dxf>
      <numFmt numFmtId="164" formatCode="&quot;$&quot;#,##0.00"/>
    </dxf>
    <dxf>
      <numFmt numFmtId="14" formatCode="0.00%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numFmt numFmtId="164" formatCode="&quot;$&quot;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CD17A58-5490-CF43-B8C4-C12ACDDAF6EF}" name="Table2" displayName="Table2" ref="A1:O51" totalsRowShown="0" headerRowDxfId="26">
  <autoFilter ref="A1:O51" xr:uid="{7CD17A58-5490-CF43-B8C4-C12ACDDAF6EF}"/>
  <sortState xmlns:xlrd2="http://schemas.microsoft.com/office/spreadsheetml/2017/richdata2" ref="A2:O51">
    <sortCondition ref="O1:O51"/>
  </sortState>
  <tableColumns count="15">
    <tableColumn id="1" xr3:uid="{DEE336A6-1415-1F4E-A9F4-CED2B3C3E0D6}" name="State" dataDxfId="25"/>
    <tableColumn id="2" xr3:uid="{6D7F61DF-F52C-0C47-82B0-3FD09EE7BE8C}" name="Used Car Price" dataDxfId="24"/>
    <tableColumn id="3" xr3:uid="{15641CB3-C466-C74D-A456-70259CC3A936}" name="Doc Fee" dataDxfId="23"/>
    <tableColumn id="4" xr3:uid="{3E088188-C5F6-4448-A4B9-FC4143C8F1D3}" name="Registration Fee" dataDxfId="22"/>
    <tableColumn id="5" xr3:uid="{42786C2F-41F9-B64D-A34C-6E104BF4F96E}" name="Sales Tax" dataDxfId="21"/>
    <tableColumn id="6" xr3:uid="{F28787A1-9770-4245-BBFD-BBA93169A11D}" name="Insurance" dataDxfId="20"/>
    <tableColumn id="7" xr3:uid="{EA5B48E7-4FFF-E74C-AC93-6F622BBD639C}" name="Total Fees" dataDxfId="0"/>
    <tableColumn id="8" xr3:uid="{1ED9FB0F-C038-334F-B1D4-9DEDCC722AA6}" name="Total Cost" dataDxfId="19"/>
    <tableColumn id="9" xr3:uid="{D1FF59C2-AEFF-1A45-B8D0-EF12F30E54AD}" name="Used Car Price Rank" dataDxfId="18"/>
    <tableColumn id="10" xr3:uid="{2D912FB8-33AB-4141-B8C4-85559924A436}" name="Sales Tax Rank" dataDxfId="17"/>
    <tableColumn id="11" xr3:uid="{38D5425E-9210-9948-AEAF-A190245F74DA}" name="Doc Fee Rank" dataDxfId="16"/>
    <tableColumn id="12" xr3:uid="{80FCDEFC-C60C-234F-A5FD-D027103BDC71}" name="Registration Fee Rank" dataDxfId="15"/>
    <tableColumn id="13" xr3:uid="{556513C5-A389-0142-8DDC-69262698359A}" name="Insurance Rank" dataDxfId="14"/>
    <tableColumn id="14" xr3:uid="{259DED09-557A-2440-8E01-8E83397E34A9}" name="Weighted Score" dataDxfId="12"/>
    <tableColumn id="15" xr3:uid="{476161E2-68CE-F149-B335-BFCDF9939006}" name="Overall Rank" dataDxfId="13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F3112-A432-704E-BF46-64FC15250DA7}">
  <dimension ref="A1:O51"/>
  <sheetViews>
    <sheetView tabSelected="1" topLeftCell="A29" workbookViewId="0">
      <selection activeCell="G56" sqref="G56"/>
    </sheetView>
  </sheetViews>
  <sheetFormatPr baseColWidth="10" defaultRowHeight="16" x14ac:dyDescent="0.2"/>
  <cols>
    <col min="1" max="1" width="14" style="1" bestFit="1" customWidth="1"/>
    <col min="2" max="2" width="15.6640625" style="2" customWidth="1"/>
    <col min="3" max="3" width="10.1640625" style="2" customWidth="1"/>
    <col min="4" max="4" width="17" style="2" customWidth="1"/>
    <col min="5" max="5" width="11" style="3" customWidth="1"/>
    <col min="6" max="6" width="11.6640625" style="2" customWidth="1"/>
    <col min="7" max="7" width="11.83203125" style="28" customWidth="1"/>
    <col min="8" max="8" width="11.83203125" style="2" customWidth="1"/>
    <col min="9" max="9" width="20.1640625" style="4" customWidth="1"/>
    <col min="10" max="10" width="15.5" style="4" customWidth="1"/>
    <col min="11" max="11" width="14.6640625" style="4" customWidth="1"/>
    <col min="12" max="12" width="21.5" style="4" customWidth="1"/>
    <col min="13" max="13" width="16.1640625" style="4" customWidth="1"/>
    <col min="14" max="14" width="16.33203125" style="26" customWidth="1"/>
    <col min="15" max="15" width="13.83203125" style="4" customWidth="1"/>
  </cols>
  <sheetData>
    <row r="1" spans="1:15" x14ac:dyDescent="0.2">
      <c r="A1" s="19" t="s">
        <v>0</v>
      </c>
      <c r="B1" s="17" t="s">
        <v>1</v>
      </c>
      <c r="C1" s="17" t="s">
        <v>2</v>
      </c>
      <c r="D1" s="17" t="s">
        <v>3</v>
      </c>
      <c r="E1" s="18" t="s">
        <v>4</v>
      </c>
      <c r="F1" s="17" t="s">
        <v>5</v>
      </c>
      <c r="G1" s="32" t="s">
        <v>6</v>
      </c>
      <c r="H1" s="21" t="s">
        <v>7</v>
      </c>
      <c r="I1" s="22" t="s">
        <v>8</v>
      </c>
      <c r="J1" s="23" t="s">
        <v>9</v>
      </c>
      <c r="K1" s="23" t="s">
        <v>10</v>
      </c>
      <c r="L1" s="23" t="s">
        <v>11</v>
      </c>
      <c r="M1" s="23" t="s">
        <v>12</v>
      </c>
      <c r="N1" s="25" t="s">
        <v>13</v>
      </c>
      <c r="O1" s="24" t="s">
        <v>14</v>
      </c>
    </row>
    <row r="2" spans="1:15" x14ac:dyDescent="0.2">
      <c r="A2" s="5" t="s">
        <v>43</v>
      </c>
      <c r="B2" s="2">
        <v>31833</v>
      </c>
      <c r="C2" s="2">
        <v>375</v>
      </c>
      <c r="D2" s="2">
        <v>31.2</v>
      </c>
      <c r="E2" s="3">
        <v>0</v>
      </c>
      <c r="F2" s="2">
        <v>1646</v>
      </c>
      <c r="G2" s="20">
        <v>2052.1999999999998</v>
      </c>
      <c r="H2" s="6">
        <v>33885.199999999997</v>
      </c>
      <c r="I2" s="12">
        <v>2</v>
      </c>
      <c r="J2" s="4">
        <v>1</v>
      </c>
      <c r="K2" s="4">
        <v>23</v>
      </c>
      <c r="L2" s="4">
        <v>34</v>
      </c>
      <c r="M2" s="4">
        <v>7</v>
      </c>
      <c r="N2" s="26">
        <v>5.85</v>
      </c>
      <c r="O2" s="13">
        <v>1</v>
      </c>
    </row>
    <row r="3" spans="1:15" x14ac:dyDescent="0.2">
      <c r="A3" s="5" t="s">
        <v>25</v>
      </c>
      <c r="B3" s="2">
        <v>32381</v>
      </c>
      <c r="C3" s="2">
        <v>395</v>
      </c>
      <c r="D3" s="2">
        <v>88.7</v>
      </c>
      <c r="E3" s="3">
        <v>0.04</v>
      </c>
      <c r="F3" s="2">
        <v>1652</v>
      </c>
      <c r="G3" s="20">
        <v>3430.9399999999901</v>
      </c>
      <c r="H3" s="6">
        <v>35811.94</v>
      </c>
      <c r="I3" s="12">
        <v>4</v>
      </c>
      <c r="J3" s="4">
        <v>10</v>
      </c>
      <c r="K3" s="4">
        <v>24</v>
      </c>
      <c r="L3" s="4">
        <v>49</v>
      </c>
      <c r="M3" s="4">
        <v>9</v>
      </c>
      <c r="N3" s="26">
        <v>10.55</v>
      </c>
      <c r="O3" s="13">
        <v>2</v>
      </c>
    </row>
    <row r="4" spans="1:15" x14ac:dyDescent="0.2">
      <c r="A4" s="5" t="s">
        <v>49</v>
      </c>
      <c r="B4" s="2">
        <v>32267</v>
      </c>
      <c r="C4" s="2">
        <v>250</v>
      </c>
      <c r="D4" s="2">
        <v>21.5</v>
      </c>
      <c r="E4" s="3">
        <v>5.7500000000000002E-2</v>
      </c>
      <c r="F4" s="2">
        <v>1530</v>
      </c>
      <c r="G4" s="20">
        <v>3656.8525</v>
      </c>
      <c r="H4" s="6">
        <v>35923.852500000001</v>
      </c>
      <c r="I4" s="12">
        <v>3</v>
      </c>
      <c r="J4" s="4">
        <v>26</v>
      </c>
      <c r="K4" s="4">
        <v>11</v>
      </c>
      <c r="L4" s="4">
        <v>12</v>
      </c>
      <c r="M4" s="4">
        <v>4</v>
      </c>
      <c r="N4" s="26">
        <v>11.049999999999899</v>
      </c>
      <c r="O4" s="13">
        <v>3</v>
      </c>
    </row>
    <row r="5" spans="1:15" x14ac:dyDescent="0.2">
      <c r="A5" s="5" t="s">
        <v>59</v>
      </c>
      <c r="B5" s="2">
        <v>31445</v>
      </c>
      <c r="C5" s="2">
        <v>200</v>
      </c>
      <c r="D5" s="2">
        <v>42</v>
      </c>
      <c r="E5" s="3">
        <v>0.06</v>
      </c>
      <c r="F5" s="2">
        <v>1359</v>
      </c>
      <c r="G5" s="20">
        <v>3487.7</v>
      </c>
      <c r="H5" s="6">
        <v>34932.699999999997</v>
      </c>
      <c r="I5" s="12">
        <v>1</v>
      </c>
      <c r="J5" s="4">
        <v>27</v>
      </c>
      <c r="K5" s="4">
        <v>9</v>
      </c>
      <c r="L5" s="4">
        <v>42</v>
      </c>
      <c r="M5" s="4">
        <v>1</v>
      </c>
      <c r="N5" s="26">
        <v>11.25</v>
      </c>
      <c r="O5" s="13">
        <v>4</v>
      </c>
    </row>
    <row r="6" spans="1:15" x14ac:dyDescent="0.2">
      <c r="A6" s="5" t="s">
        <v>33</v>
      </c>
      <c r="B6" s="2">
        <v>33758</v>
      </c>
      <c r="C6" s="2">
        <v>499</v>
      </c>
      <c r="D6" s="2">
        <v>23</v>
      </c>
      <c r="E6" s="3">
        <v>5.5E-2</v>
      </c>
      <c r="F6" s="2">
        <v>1517</v>
      </c>
      <c r="G6" s="20">
        <v>3895.69</v>
      </c>
      <c r="H6" s="6">
        <v>37653.69</v>
      </c>
      <c r="I6" s="12">
        <v>16</v>
      </c>
      <c r="J6" s="4">
        <v>23</v>
      </c>
      <c r="K6" s="4">
        <v>35</v>
      </c>
      <c r="L6" s="4">
        <v>14</v>
      </c>
      <c r="M6" s="4">
        <v>3</v>
      </c>
      <c r="N6" s="26">
        <v>15.049999999999899</v>
      </c>
      <c r="O6" s="13">
        <v>5</v>
      </c>
    </row>
    <row r="7" spans="1:15" x14ac:dyDescent="0.2">
      <c r="A7" s="5" t="s">
        <v>22</v>
      </c>
      <c r="B7" s="2">
        <v>32924</v>
      </c>
      <c r="C7" s="2">
        <v>475</v>
      </c>
      <c r="D7" s="2">
        <v>30</v>
      </c>
      <c r="E7" s="3">
        <v>0</v>
      </c>
      <c r="F7" s="2">
        <v>2636</v>
      </c>
      <c r="G7" s="20">
        <v>3141</v>
      </c>
      <c r="H7" s="6">
        <v>36065</v>
      </c>
      <c r="I7" s="12">
        <v>6</v>
      </c>
      <c r="J7" s="4">
        <v>1</v>
      </c>
      <c r="K7" s="4">
        <v>33</v>
      </c>
      <c r="L7" s="4">
        <v>29</v>
      </c>
      <c r="M7" s="4">
        <v>41</v>
      </c>
      <c r="N7" s="26">
        <v>17.499999999999901</v>
      </c>
      <c r="O7" s="13">
        <v>6</v>
      </c>
    </row>
    <row r="8" spans="1:15" x14ac:dyDescent="0.2">
      <c r="A8" s="5" t="s">
        <v>47</v>
      </c>
      <c r="B8" s="2">
        <v>34725</v>
      </c>
      <c r="C8" s="2">
        <v>699</v>
      </c>
      <c r="D8" s="2">
        <v>20</v>
      </c>
      <c r="E8" s="3">
        <v>0.03</v>
      </c>
      <c r="F8" s="2">
        <v>1702</v>
      </c>
      <c r="G8" s="20">
        <v>3462.75</v>
      </c>
      <c r="H8" s="6">
        <v>38187.75</v>
      </c>
      <c r="I8" s="12">
        <v>28</v>
      </c>
      <c r="J8" s="4">
        <v>8</v>
      </c>
      <c r="K8" s="4">
        <v>47</v>
      </c>
      <c r="L8" s="4">
        <v>9</v>
      </c>
      <c r="M8" s="4">
        <v>13</v>
      </c>
      <c r="N8" s="26">
        <v>17.5</v>
      </c>
      <c r="O8" s="13">
        <v>7</v>
      </c>
    </row>
    <row r="9" spans="1:15" x14ac:dyDescent="0.2">
      <c r="A9" s="5" t="s">
        <v>28</v>
      </c>
      <c r="B9" s="2">
        <v>32936</v>
      </c>
      <c r="C9" s="2">
        <v>199</v>
      </c>
      <c r="D9" s="2">
        <v>12.75</v>
      </c>
      <c r="E9" s="3">
        <v>7.0000000000000007E-2</v>
      </c>
      <c r="F9" s="2">
        <v>1639</v>
      </c>
      <c r="G9" s="20">
        <v>4156.2700000000004</v>
      </c>
      <c r="H9" s="6">
        <v>37092.269999999997</v>
      </c>
      <c r="I9" s="12">
        <v>7</v>
      </c>
      <c r="J9" s="4">
        <v>44</v>
      </c>
      <c r="K9" s="4">
        <v>7</v>
      </c>
      <c r="L9" s="4">
        <v>2</v>
      </c>
      <c r="M9" s="4">
        <v>6</v>
      </c>
      <c r="N9" s="26">
        <v>17.55</v>
      </c>
      <c r="O9" s="13">
        <v>8</v>
      </c>
    </row>
    <row r="10" spans="1:15" x14ac:dyDescent="0.2">
      <c r="A10" s="5" t="s">
        <v>63</v>
      </c>
      <c r="B10" s="2">
        <v>34018</v>
      </c>
      <c r="C10" s="2">
        <v>299</v>
      </c>
      <c r="D10" s="2">
        <v>40</v>
      </c>
      <c r="E10" s="3">
        <v>0.05</v>
      </c>
      <c r="F10" s="2">
        <v>1739</v>
      </c>
      <c r="G10" s="20">
        <v>3778.9</v>
      </c>
      <c r="H10" s="6">
        <v>37796.9</v>
      </c>
      <c r="I10" s="12">
        <v>20</v>
      </c>
      <c r="J10" s="4">
        <v>18</v>
      </c>
      <c r="K10" s="4">
        <v>15</v>
      </c>
      <c r="L10" s="4">
        <v>41</v>
      </c>
      <c r="M10" s="4">
        <v>14</v>
      </c>
      <c r="N10" s="26">
        <v>18.399999999999999</v>
      </c>
      <c r="O10" s="13">
        <v>9</v>
      </c>
    </row>
    <row r="11" spans="1:15" x14ac:dyDescent="0.2">
      <c r="A11" s="5" t="s">
        <v>35</v>
      </c>
      <c r="B11" s="2">
        <v>33232</v>
      </c>
      <c r="C11" s="2">
        <v>459</v>
      </c>
      <c r="D11" s="2">
        <v>30</v>
      </c>
      <c r="E11" s="3">
        <v>6.25E-2</v>
      </c>
      <c r="F11" s="2">
        <v>1646</v>
      </c>
      <c r="G11" s="20">
        <v>4212</v>
      </c>
      <c r="H11" s="6">
        <v>37444</v>
      </c>
      <c r="I11" s="12">
        <v>10</v>
      </c>
      <c r="J11" s="4">
        <v>35</v>
      </c>
      <c r="K11" s="4">
        <v>32</v>
      </c>
      <c r="L11" s="4">
        <v>29</v>
      </c>
      <c r="M11" s="4">
        <v>7</v>
      </c>
      <c r="N11" s="26">
        <v>18.649999999999999</v>
      </c>
      <c r="O11" s="13">
        <v>10</v>
      </c>
    </row>
    <row r="12" spans="1:15" x14ac:dyDescent="0.2">
      <c r="A12" s="5" t="s">
        <v>60</v>
      </c>
      <c r="B12" s="2">
        <v>33724</v>
      </c>
      <c r="C12" s="2">
        <v>799</v>
      </c>
      <c r="D12" s="2">
        <v>26.5</v>
      </c>
      <c r="E12" s="3">
        <v>4.1500000000000002E-2</v>
      </c>
      <c r="F12" s="2">
        <v>1990</v>
      </c>
      <c r="G12" s="20">
        <v>4215.0460000000003</v>
      </c>
      <c r="H12" s="6">
        <v>37939.046000000002</v>
      </c>
      <c r="I12" s="12">
        <v>15</v>
      </c>
      <c r="J12" s="4">
        <v>15</v>
      </c>
      <c r="K12" s="4">
        <v>49</v>
      </c>
      <c r="L12" s="4">
        <v>25</v>
      </c>
      <c r="M12" s="4">
        <v>21</v>
      </c>
      <c r="N12" s="26">
        <v>19</v>
      </c>
      <c r="O12" s="13">
        <v>11</v>
      </c>
    </row>
    <row r="13" spans="1:15" x14ac:dyDescent="0.2">
      <c r="A13" s="5" t="s">
        <v>15</v>
      </c>
      <c r="B13" s="28">
        <v>34206</v>
      </c>
      <c r="C13" s="28">
        <v>489</v>
      </c>
      <c r="D13" s="28">
        <v>24.25</v>
      </c>
      <c r="E13" s="29">
        <v>0.02</v>
      </c>
      <c r="F13" s="28">
        <v>2207</v>
      </c>
      <c r="G13" s="20">
        <v>3404.37</v>
      </c>
      <c r="H13" s="6">
        <v>37610.370000000003</v>
      </c>
      <c r="I13" s="12">
        <v>23</v>
      </c>
      <c r="J13" s="30">
        <v>6</v>
      </c>
      <c r="K13" s="30">
        <v>34</v>
      </c>
      <c r="L13" s="30">
        <v>21</v>
      </c>
      <c r="M13" s="30">
        <v>27</v>
      </c>
      <c r="N13" s="31">
        <v>19.549999999999901</v>
      </c>
      <c r="O13" s="13">
        <v>12</v>
      </c>
    </row>
    <row r="14" spans="1:15" x14ac:dyDescent="0.2">
      <c r="A14" s="5" t="s">
        <v>51</v>
      </c>
      <c r="B14" s="2">
        <v>35556</v>
      </c>
      <c r="C14" s="2">
        <v>250</v>
      </c>
      <c r="D14" s="2">
        <v>30</v>
      </c>
      <c r="E14" s="3">
        <v>0</v>
      </c>
      <c r="F14" s="2">
        <v>1956</v>
      </c>
      <c r="G14" s="20">
        <v>2236</v>
      </c>
      <c r="H14" s="6">
        <v>37792</v>
      </c>
      <c r="I14" s="12">
        <v>38</v>
      </c>
      <c r="J14" s="4">
        <v>1</v>
      </c>
      <c r="K14" s="4">
        <v>11</v>
      </c>
      <c r="L14" s="4">
        <v>29</v>
      </c>
      <c r="M14" s="4">
        <v>20</v>
      </c>
      <c r="N14" s="26">
        <v>19.7</v>
      </c>
      <c r="O14" s="13">
        <v>13</v>
      </c>
    </row>
    <row r="15" spans="1:15" x14ac:dyDescent="0.2">
      <c r="A15" s="5" t="s">
        <v>62</v>
      </c>
      <c r="B15" s="2">
        <v>33761</v>
      </c>
      <c r="C15" s="2">
        <v>250</v>
      </c>
      <c r="D15" s="2">
        <v>30</v>
      </c>
      <c r="E15" s="3">
        <v>0.06</v>
      </c>
      <c r="F15" s="2">
        <v>1904</v>
      </c>
      <c r="G15" s="20">
        <v>4209.66</v>
      </c>
      <c r="H15" s="6">
        <v>37970.660000000003</v>
      </c>
      <c r="I15" s="12">
        <v>18</v>
      </c>
      <c r="J15" s="4">
        <v>27</v>
      </c>
      <c r="K15" s="4">
        <v>11</v>
      </c>
      <c r="L15" s="4">
        <v>29</v>
      </c>
      <c r="M15" s="4">
        <v>17</v>
      </c>
      <c r="N15" s="26">
        <v>20.6</v>
      </c>
      <c r="O15" s="13">
        <v>14</v>
      </c>
    </row>
    <row r="16" spans="1:15" x14ac:dyDescent="0.2">
      <c r="A16" s="5" t="s">
        <v>38</v>
      </c>
      <c r="B16" s="2">
        <v>34130</v>
      </c>
      <c r="C16" s="2">
        <v>425</v>
      </c>
      <c r="D16" s="2">
        <v>23.75</v>
      </c>
      <c r="E16" s="3">
        <v>0.05</v>
      </c>
      <c r="F16" s="2">
        <v>2061</v>
      </c>
      <c r="G16" s="20">
        <v>4216.25</v>
      </c>
      <c r="H16" s="6">
        <v>38346.25</v>
      </c>
      <c r="I16" s="12">
        <v>21</v>
      </c>
      <c r="J16" s="4">
        <v>18</v>
      </c>
      <c r="K16" s="4">
        <v>28</v>
      </c>
      <c r="L16" s="4">
        <v>17</v>
      </c>
      <c r="M16" s="4">
        <v>24</v>
      </c>
      <c r="N16" s="26">
        <v>21.15</v>
      </c>
      <c r="O16" s="13">
        <v>15</v>
      </c>
    </row>
    <row r="17" spans="1:15" x14ac:dyDescent="0.2">
      <c r="A17" s="5" t="s">
        <v>54</v>
      </c>
      <c r="B17" s="2">
        <v>35015</v>
      </c>
      <c r="C17" s="2">
        <v>400</v>
      </c>
      <c r="D17" s="2">
        <v>24</v>
      </c>
      <c r="E17" s="3">
        <v>0.05</v>
      </c>
      <c r="F17" s="2">
        <v>1886</v>
      </c>
      <c r="G17" s="20">
        <v>4060.75</v>
      </c>
      <c r="H17" s="6">
        <v>39075.75</v>
      </c>
      <c r="I17" s="12">
        <v>30</v>
      </c>
      <c r="J17" s="4">
        <v>18</v>
      </c>
      <c r="K17" s="4">
        <v>27</v>
      </c>
      <c r="L17" s="4">
        <v>19</v>
      </c>
      <c r="M17" s="4">
        <v>16</v>
      </c>
      <c r="N17" s="26">
        <v>21.5</v>
      </c>
      <c r="O17" s="13">
        <v>16</v>
      </c>
    </row>
    <row r="18" spans="1:15" x14ac:dyDescent="0.2">
      <c r="A18" s="5" t="s">
        <v>64</v>
      </c>
      <c r="B18" s="28">
        <v>41405</v>
      </c>
      <c r="C18" s="28">
        <v>500</v>
      </c>
      <c r="D18" s="28">
        <v>15</v>
      </c>
      <c r="E18" s="29">
        <v>0.04</v>
      </c>
      <c r="F18" s="28">
        <v>1581</v>
      </c>
      <c r="G18" s="20">
        <v>3752.2</v>
      </c>
      <c r="H18" s="6">
        <v>45157.2</v>
      </c>
      <c r="I18" s="12">
        <v>50</v>
      </c>
      <c r="J18" s="30">
        <v>10</v>
      </c>
      <c r="K18" s="30">
        <v>41</v>
      </c>
      <c r="L18" s="30">
        <v>5</v>
      </c>
      <c r="M18" s="30">
        <v>5</v>
      </c>
      <c r="N18" s="31">
        <v>21.8</v>
      </c>
      <c r="O18" s="13">
        <v>17</v>
      </c>
    </row>
    <row r="19" spans="1:15" x14ac:dyDescent="0.2">
      <c r="A19" s="5" t="s">
        <v>29</v>
      </c>
      <c r="B19" s="2">
        <v>35750</v>
      </c>
      <c r="C19" s="2">
        <v>180</v>
      </c>
      <c r="D19" s="2">
        <v>27</v>
      </c>
      <c r="E19" s="3">
        <v>0.05</v>
      </c>
      <c r="F19" s="2">
        <v>1683</v>
      </c>
      <c r="G19" s="20">
        <v>3677.5</v>
      </c>
      <c r="H19" s="6">
        <v>39427.5</v>
      </c>
      <c r="I19" s="12">
        <v>39</v>
      </c>
      <c r="J19" s="4">
        <v>18</v>
      </c>
      <c r="K19" s="4">
        <v>6</v>
      </c>
      <c r="L19" s="4">
        <v>26</v>
      </c>
      <c r="M19" s="4">
        <v>12</v>
      </c>
      <c r="N19" s="26">
        <v>22.299999999999901</v>
      </c>
      <c r="O19" s="13">
        <v>18</v>
      </c>
    </row>
    <row r="20" spans="1:15" x14ac:dyDescent="0.2">
      <c r="A20" s="5" t="s">
        <v>46</v>
      </c>
      <c r="B20" s="2">
        <v>33246</v>
      </c>
      <c r="C20" s="2">
        <v>175</v>
      </c>
      <c r="D20" s="2">
        <v>24.85</v>
      </c>
      <c r="E20" s="3">
        <v>0.04</v>
      </c>
      <c r="F20" s="2">
        <v>3848</v>
      </c>
      <c r="G20" s="20">
        <v>5377.69</v>
      </c>
      <c r="H20" s="6">
        <v>38623.69</v>
      </c>
      <c r="I20" s="12">
        <v>11</v>
      </c>
      <c r="J20" s="4">
        <v>10</v>
      </c>
      <c r="K20" s="4">
        <v>5</v>
      </c>
      <c r="L20" s="4">
        <v>22</v>
      </c>
      <c r="M20" s="4">
        <v>49</v>
      </c>
      <c r="N20" s="26">
        <v>22.35</v>
      </c>
      <c r="O20" s="13">
        <v>19</v>
      </c>
    </row>
    <row r="21" spans="1:15" x14ac:dyDescent="0.2">
      <c r="A21" s="5" t="s">
        <v>39</v>
      </c>
      <c r="B21" s="2">
        <v>33596</v>
      </c>
      <c r="C21" s="2">
        <v>565</v>
      </c>
      <c r="D21" s="2">
        <v>51</v>
      </c>
      <c r="E21" s="3">
        <v>4.2299999999999997E-2</v>
      </c>
      <c r="F21" s="2">
        <v>2437</v>
      </c>
      <c r="G21" s="20">
        <v>4474.1108000000004</v>
      </c>
      <c r="H21" s="6">
        <v>38070.110800000002</v>
      </c>
      <c r="I21" s="12">
        <v>13</v>
      </c>
      <c r="J21" s="4">
        <v>16</v>
      </c>
      <c r="K21" s="4">
        <v>42</v>
      </c>
      <c r="L21" s="12">
        <v>45</v>
      </c>
      <c r="M21" s="4">
        <v>32</v>
      </c>
      <c r="N21" s="26">
        <v>22.65</v>
      </c>
      <c r="O21" s="13">
        <v>20</v>
      </c>
    </row>
    <row r="22" spans="1:15" x14ac:dyDescent="0.2">
      <c r="A22" s="5" t="s">
        <v>45</v>
      </c>
      <c r="B22" s="2">
        <v>35189</v>
      </c>
      <c r="C22" s="2">
        <v>339</v>
      </c>
      <c r="D22" s="2">
        <v>23</v>
      </c>
      <c r="E22" s="3">
        <v>0.04</v>
      </c>
      <c r="F22" s="2">
        <v>2216</v>
      </c>
      <c r="G22" s="20">
        <v>3985.56</v>
      </c>
      <c r="H22" s="6">
        <v>39174.559999999998</v>
      </c>
      <c r="I22" s="12">
        <v>33</v>
      </c>
      <c r="J22" s="4">
        <v>10</v>
      </c>
      <c r="K22" s="4">
        <v>21</v>
      </c>
      <c r="L22" s="30">
        <v>14</v>
      </c>
      <c r="M22" s="4">
        <v>28</v>
      </c>
      <c r="N22" s="26">
        <v>23.05</v>
      </c>
      <c r="O22" s="13">
        <v>21</v>
      </c>
    </row>
    <row r="23" spans="1:15" x14ac:dyDescent="0.2">
      <c r="A23" s="5" t="s">
        <v>55</v>
      </c>
      <c r="B23" s="2">
        <v>37192</v>
      </c>
      <c r="C23" s="2">
        <v>200</v>
      </c>
      <c r="D23" s="2">
        <v>21</v>
      </c>
      <c r="E23" s="3">
        <v>0.04</v>
      </c>
      <c r="F23" s="2">
        <v>1939</v>
      </c>
      <c r="G23" s="20">
        <v>3647.68</v>
      </c>
      <c r="H23" s="6">
        <v>40839.68</v>
      </c>
      <c r="I23" s="12">
        <v>46</v>
      </c>
      <c r="J23" s="4">
        <v>10</v>
      </c>
      <c r="K23" s="4">
        <v>9</v>
      </c>
      <c r="L23" s="4">
        <v>11</v>
      </c>
      <c r="M23" s="4">
        <v>18</v>
      </c>
      <c r="N23" s="26">
        <v>23.1999999999999</v>
      </c>
      <c r="O23" s="13">
        <v>22</v>
      </c>
    </row>
    <row r="24" spans="1:15" x14ac:dyDescent="0.2">
      <c r="A24" s="5" t="s">
        <v>41</v>
      </c>
      <c r="B24" s="2">
        <v>35064</v>
      </c>
      <c r="C24" s="2">
        <v>299</v>
      </c>
      <c r="D24" s="2">
        <v>21.5</v>
      </c>
      <c r="E24" s="3">
        <v>5.5E-2</v>
      </c>
      <c r="F24" s="2">
        <v>1994</v>
      </c>
      <c r="G24" s="20">
        <v>4243.0200000000004</v>
      </c>
      <c r="H24" s="6">
        <v>39307.019999999997</v>
      </c>
      <c r="I24" s="12">
        <v>32</v>
      </c>
      <c r="J24" s="4">
        <v>23</v>
      </c>
      <c r="K24" s="4">
        <v>15</v>
      </c>
      <c r="L24" s="4">
        <v>12</v>
      </c>
      <c r="M24" s="4">
        <v>22</v>
      </c>
      <c r="N24" s="26">
        <v>24.45</v>
      </c>
      <c r="O24" s="13">
        <v>23</v>
      </c>
    </row>
    <row r="25" spans="1:15" x14ac:dyDescent="0.2">
      <c r="A25" s="5" t="s">
        <v>40</v>
      </c>
      <c r="B25" s="2">
        <v>38943</v>
      </c>
      <c r="C25" s="2">
        <v>299</v>
      </c>
      <c r="D25" s="2">
        <v>15.25</v>
      </c>
      <c r="E25" s="3">
        <v>0</v>
      </c>
      <c r="F25" s="2">
        <v>2228</v>
      </c>
      <c r="G25" s="20">
        <v>2542.25</v>
      </c>
      <c r="H25" s="6">
        <v>41485.25</v>
      </c>
      <c r="I25" s="12">
        <v>48</v>
      </c>
      <c r="J25" s="4">
        <v>1</v>
      </c>
      <c r="K25" s="4">
        <v>15</v>
      </c>
      <c r="L25" s="4">
        <v>7</v>
      </c>
      <c r="M25" s="4">
        <v>29</v>
      </c>
      <c r="N25" s="26">
        <v>24.5</v>
      </c>
      <c r="O25" s="13">
        <v>24</v>
      </c>
    </row>
    <row r="26" spans="1:15" x14ac:dyDescent="0.2">
      <c r="A26" s="5" t="s">
        <v>34</v>
      </c>
      <c r="B26" s="2">
        <v>33377</v>
      </c>
      <c r="C26" s="2">
        <v>499</v>
      </c>
      <c r="D26" s="2">
        <v>35</v>
      </c>
      <c r="E26" s="3">
        <v>0.06</v>
      </c>
      <c r="F26" s="2">
        <v>2496</v>
      </c>
      <c r="G26" s="20">
        <v>5032.62</v>
      </c>
      <c r="H26" s="6">
        <v>38409.620000000003</v>
      </c>
      <c r="I26" s="12">
        <v>12</v>
      </c>
      <c r="J26" s="4">
        <v>27</v>
      </c>
      <c r="K26" s="4">
        <v>35</v>
      </c>
      <c r="L26" s="30">
        <v>36</v>
      </c>
      <c r="M26" s="4">
        <v>33</v>
      </c>
      <c r="N26" s="26">
        <v>25.15</v>
      </c>
      <c r="O26" s="13">
        <v>25</v>
      </c>
    </row>
    <row r="27" spans="1:15" x14ac:dyDescent="0.2">
      <c r="A27" s="5" t="s">
        <v>26</v>
      </c>
      <c r="B27" s="2">
        <v>37092</v>
      </c>
      <c r="C27" s="2">
        <v>399</v>
      </c>
      <c r="D27" s="2">
        <v>37.25</v>
      </c>
      <c r="E27" s="3">
        <v>0.06</v>
      </c>
      <c r="F27" s="2">
        <v>1425</v>
      </c>
      <c r="G27" s="20">
        <v>4086.77</v>
      </c>
      <c r="H27" s="6">
        <v>41178.769999999997</v>
      </c>
      <c r="I27" s="12">
        <v>45</v>
      </c>
      <c r="J27" s="4">
        <v>27</v>
      </c>
      <c r="K27" s="4">
        <v>25</v>
      </c>
      <c r="L27" s="4">
        <v>40</v>
      </c>
      <c r="M27" s="4">
        <v>2</v>
      </c>
      <c r="N27" s="26">
        <v>25.45</v>
      </c>
      <c r="O27" s="13">
        <v>26</v>
      </c>
    </row>
    <row r="28" spans="1:15" x14ac:dyDescent="0.2">
      <c r="A28" s="5" t="s">
        <v>21</v>
      </c>
      <c r="B28" s="2">
        <v>32991</v>
      </c>
      <c r="C28" s="2">
        <v>599</v>
      </c>
      <c r="D28" s="2">
        <v>70</v>
      </c>
      <c r="E28" s="3">
        <v>6.3500000000000001E-2</v>
      </c>
      <c r="F28" s="2">
        <v>2187</v>
      </c>
      <c r="G28" s="20">
        <v>4950.9285</v>
      </c>
      <c r="H28" s="6">
        <v>37941.928500000002</v>
      </c>
      <c r="I28" s="12">
        <v>8</v>
      </c>
      <c r="J28" s="4">
        <v>37</v>
      </c>
      <c r="K28" s="4">
        <v>43</v>
      </c>
      <c r="L28" s="4">
        <v>48</v>
      </c>
      <c r="M28" s="4">
        <v>25</v>
      </c>
      <c r="N28" s="26">
        <v>25.549999999999901</v>
      </c>
      <c r="O28" s="13">
        <v>27</v>
      </c>
    </row>
    <row r="29" spans="1:15" x14ac:dyDescent="0.2">
      <c r="A29" s="5" t="s">
        <v>48</v>
      </c>
      <c r="B29" s="2">
        <v>37773</v>
      </c>
      <c r="C29" s="2">
        <v>299</v>
      </c>
      <c r="D29" s="2">
        <v>60</v>
      </c>
      <c r="E29" s="3">
        <v>0.05</v>
      </c>
      <c r="F29" s="2">
        <v>1655</v>
      </c>
      <c r="G29" s="20">
        <v>3902.65</v>
      </c>
      <c r="H29" s="6">
        <v>41675.65</v>
      </c>
      <c r="I29" s="12">
        <v>47</v>
      </c>
      <c r="J29" s="4">
        <v>18</v>
      </c>
      <c r="K29" s="4">
        <v>15</v>
      </c>
      <c r="L29" s="4">
        <v>47</v>
      </c>
      <c r="M29" s="4">
        <v>10</v>
      </c>
      <c r="N29" s="26">
        <v>25.6</v>
      </c>
      <c r="O29" s="13">
        <v>28</v>
      </c>
    </row>
    <row r="30" spans="1:15" x14ac:dyDescent="0.2">
      <c r="A30" s="5" t="s">
        <v>52</v>
      </c>
      <c r="B30" s="2">
        <v>33097</v>
      </c>
      <c r="C30" s="2">
        <v>449</v>
      </c>
      <c r="D30" s="2">
        <v>24</v>
      </c>
      <c r="E30" s="3">
        <v>0.06</v>
      </c>
      <c r="F30" s="2">
        <v>2791</v>
      </c>
      <c r="G30" s="20">
        <v>5249.82</v>
      </c>
      <c r="H30" s="6">
        <v>38346.82</v>
      </c>
      <c r="I30" s="12">
        <v>9</v>
      </c>
      <c r="J30" s="4">
        <v>27</v>
      </c>
      <c r="K30" s="4">
        <v>30</v>
      </c>
      <c r="L30" s="4">
        <v>19</v>
      </c>
      <c r="M30" s="4">
        <v>44</v>
      </c>
      <c r="N30" s="26">
        <v>26.45</v>
      </c>
      <c r="O30" s="13">
        <v>29</v>
      </c>
    </row>
    <row r="31" spans="1:15" x14ac:dyDescent="0.2">
      <c r="A31" s="5" t="s">
        <v>37</v>
      </c>
      <c r="B31" s="2">
        <v>33758</v>
      </c>
      <c r="C31" s="2">
        <v>125</v>
      </c>
      <c r="D31" s="2">
        <v>35</v>
      </c>
      <c r="E31" s="3">
        <v>6.88E-2</v>
      </c>
      <c r="F31" s="2">
        <v>2044</v>
      </c>
      <c r="G31" s="20">
        <v>4526.5504000000001</v>
      </c>
      <c r="H31" s="6">
        <v>38284.5504</v>
      </c>
      <c r="I31" s="12">
        <v>16</v>
      </c>
      <c r="J31" s="4">
        <v>43</v>
      </c>
      <c r="K31" s="4">
        <v>2</v>
      </c>
      <c r="L31" s="4">
        <v>36</v>
      </c>
      <c r="M31" s="4">
        <v>23</v>
      </c>
      <c r="N31" s="26">
        <v>26.5</v>
      </c>
      <c r="O31" s="13">
        <v>30</v>
      </c>
    </row>
    <row r="32" spans="1:15" x14ac:dyDescent="0.2">
      <c r="A32" s="5" t="s">
        <v>17</v>
      </c>
      <c r="B32" s="2">
        <v>34413</v>
      </c>
      <c r="C32" s="2">
        <v>499</v>
      </c>
      <c r="D32" s="2">
        <v>8</v>
      </c>
      <c r="E32" s="3">
        <v>5.5999999999999897E-2</v>
      </c>
      <c r="F32" s="2">
        <v>2515</v>
      </c>
      <c r="G32" s="20">
        <v>4949.1279999999997</v>
      </c>
      <c r="H32" s="6">
        <v>39362.127999999997</v>
      </c>
      <c r="I32" s="12">
        <v>24</v>
      </c>
      <c r="J32" s="4">
        <v>25</v>
      </c>
      <c r="K32" s="4">
        <v>35</v>
      </c>
      <c r="L32" s="4">
        <v>1</v>
      </c>
      <c r="M32" s="4">
        <v>34</v>
      </c>
      <c r="N32" s="26">
        <v>26.7</v>
      </c>
      <c r="O32" s="13">
        <v>31</v>
      </c>
    </row>
    <row r="33" spans="1:15" x14ac:dyDescent="0.2">
      <c r="A33" s="5" t="s">
        <v>16</v>
      </c>
      <c r="B33" s="2">
        <v>40462</v>
      </c>
      <c r="C33" s="2">
        <v>299</v>
      </c>
      <c r="D33" s="2">
        <v>35</v>
      </c>
      <c r="E33" s="3">
        <v>0</v>
      </c>
      <c r="F33" s="2">
        <v>2330</v>
      </c>
      <c r="G33" s="20">
        <v>2664</v>
      </c>
      <c r="H33" s="6">
        <v>43126</v>
      </c>
      <c r="I33" s="12">
        <v>49</v>
      </c>
      <c r="J33" s="4">
        <v>1</v>
      </c>
      <c r="K33" s="4">
        <v>15</v>
      </c>
      <c r="L33" s="4">
        <v>36</v>
      </c>
      <c r="M33" s="4">
        <v>31</v>
      </c>
      <c r="N33" s="26">
        <v>26.849999999999898</v>
      </c>
      <c r="O33" s="13">
        <v>32</v>
      </c>
    </row>
    <row r="34" spans="1:15" x14ac:dyDescent="0.2">
      <c r="A34" s="5" t="s">
        <v>31</v>
      </c>
      <c r="B34" s="2">
        <v>34176</v>
      </c>
      <c r="C34" s="2">
        <v>450</v>
      </c>
      <c r="D34" s="2">
        <v>14.5</v>
      </c>
      <c r="E34" s="3">
        <v>0.06</v>
      </c>
      <c r="F34" s="2">
        <v>2558</v>
      </c>
      <c r="G34" s="20">
        <v>5073.0599999999904</v>
      </c>
      <c r="H34" s="6">
        <v>39249.06</v>
      </c>
      <c r="I34" s="12">
        <v>22</v>
      </c>
      <c r="J34" s="4">
        <v>27</v>
      </c>
      <c r="K34" s="4">
        <v>31</v>
      </c>
      <c r="L34" s="4">
        <v>3</v>
      </c>
      <c r="M34" s="4">
        <v>35</v>
      </c>
      <c r="N34" s="26">
        <v>26.9</v>
      </c>
      <c r="O34" s="13">
        <v>33</v>
      </c>
    </row>
    <row r="35" spans="1:15" x14ac:dyDescent="0.2">
      <c r="A35" s="5" t="s">
        <v>58</v>
      </c>
      <c r="B35" s="2">
        <v>34580</v>
      </c>
      <c r="C35" s="2">
        <v>299</v>
      </c>
      <c r="D35" s="2">
        <v>14.5</v>
      </c>
      <c r="E35" s="3">
        <v>6.8499999999999894E-2</v>
      </c>
      <c r="F35" s="2">
        <v>1942</v>
      </c>
      <c r="G35" s="20">
        <v>4624.2299999999996</v>
      </c>
      <c r="H35" s="6">
        <v>39204.229999999901</v>
      </c>
      <c r="I35" s="12">
        <v>26</v>
      </c>
      <c r="J35" s="4">
        <v>42</v>
      </c>
      <c r="K35" s="4">
        <v>15</v>
      </c>
      <c r="L35" s="4">
        <v>3</v>
      </c>
      <c r="M35" s="4">
        <v>19</v>
      </c>
      <c r="N35" s="26">
        <v>26.999999999999901</v>
      </c>
      <c r="O35" s="13">
        <v>34</v>
      </c>
    </row>
    <row r="36" spans="1:15" x14ac:dyDescent="0.2">
      <c r="A36" s="5" t="s">
        <v>56</v>
      </c>
      <c r="B36" s="2">
        <v>34658</v>
      </c>
      <c r="C36" s="2">
        <v>499</v>
      </c>
      <c r="D36" s="2">
        <v>23</v>
      </c>
      <c r="E36" s="3">
        <v>7.0000000000000007E-2</v>
      </c>
      <c r="F36" s="2">
        <v>1807</v>
      </c>
      <c r="G36" s="20">
        <v>4755.0600000000004</v>
      </c>
      <c r="H36" s="6">
        <v>39413.06</v>
      </c>
      <c r="I36" s="12">
        <v>27</v>
      </c>
      <c r="J36" s="4">
        <v>44</v>
      </c>
      <c r="K36" s="4">
        <v>35</v>
      </c>
      <c r="L36" s="4">
        <v>14</v>
      </c>
      <c r="M36" s="4">
        <v>15</v>
      </c>
      <c r="N36" s="26">
        <v>28.249999999999901</v>
      </c>
      <c r="O36" s="13">
        <v>35</v>
      </c>
    </row>
    <row r="37" spans="1:15" x14ac:dyDescent="0.2">
      <c r="A37" s="5" t="s">
        <v>61</v>
      </c>
      <c r="B37" s="2">
        <v>36119</v>
      </c>
      <c r="C37" s="2">
        <v>199</v>
      </c>
      <c r="D37" s="2">
        <v>23.85</v>
      </c>
      <c r="E37" s="3">
        <v>6.5000000000000002E-2</v>
      </c>
      <c r="F37" s="2">
        <v>1674</v>
      </c>
      <c r="G37" s="20">
        <v>4244.585</v>
      </c>
      <c r="H37" s="6">
        <v>40363.584999999999</v>
      </c>
      <c r="I37" s="12">
        <v>43</v>
      </c>
      <c r="J37" s="4">
        <v>38</v>
      </c>
      <c r="K37" s="4">
        <v>7</v>
      </c>
      <c r="L37" s="4">
        <v>18</v>
      </c>
      <c r="M37" s="4">
        <v>11</v>
      </c>
      <c r="N37" s="26">
        <v>28.85</v>
      </c>
      <c r="O37" s="13">
        <v>36</v>
      </c>
    </row>
    <row r="38" spans="1:15" x14ac:dyDescent="0.2">
      <c r="A38" s="5" t="s">
        <v>36</v>
      </c>
      <c r="B38" s="2">
        <v>33597</v>
      </c>
      <c r="C38" s="2">
        <v>260</v>
      </c>
      <c r="D38" s="2">
        <v>58</v>
      </c>
      <c r="E38" s="3">
        <v>0.06</v>
      </c>
      <c r="F38" s="2">
        <v>3375</v>
      </c>
      <c r="G38" s="20">
        <v>5708.82</v>
      </c>
      <c r="H38" s="6">
        <v>39305.82</v>
      </c>
      <c r="I38" s="12">
        <v>14</v>
      </c>
      <c r="J38" s="4">
        <v>27</v>
      </c>
      <c r="K38" s="4">
        <v>14</v>
      </c>
      <c r="L38" s="4">
        <v>46</v>
      </c>
      <c r="M38" s="4">
        <v>46</v>
      </c>
      <c r="N38" s="26">
        <v>29.1</v>
      </c>
      <c r="O38" s="13">
        <v>37</v>
      </c>
    </row>
    <row r="39" spans="1:15" x14ac:dyDescent="0.2">
      <c r="A39" s="5" t="s">
        <v>50</v>
      </c>
      <c r="B39" s="2">
        <v>35509</v>
      </c>
      <c r="C39" s="2">
        <v>599</v>
      </c>
      <c r="D39" s="2">
        <v>100.75</v>
      </c>
      <c r="E39" s="3">
        <v>3.2500000000000001E-2</v>
      </c>
      <c r="F39" s="2">
        <v>2560</v>
      </c>
      <c r="G39" s="20">
        <v>4413.7924999999996</v>
      </c>
      <c r="H39" s="6">
        <v>39922.792499999901</v>
      </c>
      <c r="I39" s="12">
        <v>37</v>
      </c>
      <c r="J39" s="4">
        <v>9</v>
      </c>
      <c r="K39" s="4">
        <v>43</v>
      </c>
      <c r="L39" s="4">
        <v>50</v>
      </c>
      <c r="M39" s="4">
        <v>36</v>
      </c>
      <c r="N39" s="26">
        <v>29.249999999999901</v>
      </c>
      <c r="O39" s="13">
        <v>38</v>
      </c>
    </row>
    <row r="40" spans="1:15" x14ac:dyDescent="0.2">
      <c r="A40" s="5" t="s">
        <v>20</v>
      </c>
      <c r="B40" s="2">
        <v>35269</v>
      </c>
      <c r="C40" s="2">
        <v>699</v>
      </c>
      <c r="D40" s="2">
        <v>25.8</v>
      </c>
      <c r="E40" s="3">
        <v>2.8999999999999901E-2</v>
      </c>
      <c r="F40" s="2">
        <v>3200</v>
      </c>
      <c r="G40" s="20">
        <v>4947.6009999999997</v>
      </c>
      <c r="H40" s="6">
        <v>40216.601000000002</v>
      </c>
      <c r="I40" s="12">
        <v>35</v>
      </c>
      <c r="J40" s="4">
        <v>7</v>
      </c>
      <c r="K40" s="4">
        <v>47</v>
      </c>
      <c r="L40" s="4">
        <v>24</v>
      </c>
      <c r="M40" s="4">
        <v>45</v>
      </c>
      <c r="N40" s="26">
        <v>29.65</v>
      </c>
      <c r="O40" s="13">
        <v>39</v>
      </c>
    </row>
    <row r="41" spans="1:15" x14ac:dyDescent="0.2">
      <c r="A41" s="5" t="s">
        <v>53</v>
      </c>
      <c r="B41" s="2">
        <v>32789</v>
      </c>
      <c r="C41" s="2">
        <v>399</v>
      </c>
      <c r="D41" s="2">
        <v>30</v>
      </c>
      <c r="E41" s="3">
        <v>7.0000000000000007E-2</v>
      </c>
      <c r="F41" s="2">
        <v>2683</v>
      </c>
      <c r="G41" s="20">
        <v>5407.23</v>
      </c>
      <c r="H41" s="6">
        <v>38196.229999999901</v>
      </c>
      <c r="I41" s="12">
        <v>5</v>
      </c>
      <c r="J41" s="4">
        <v>44</v>
      </c>
      <c r="K41" s="4">
        <v>25</v>
      </c>
      <c r="L41" s="4">
        <v>29</v>
      </c>
      <c r="M41" s="4">
        <v>42</v>
      </c>
      <c r="N41" s="26">
        <v>29.999999999999901</v>
      </c>
      <c r="O41" s="13">
        <v>40</v>
      </c>
    </row>
    <row r="42" spans="1:15" x14ac:dyDescent="0.2">
      <c r="A42" s="5" t="s">
        <v>44</v>
      </c>
      <c r="B42" s="2">
        <v>33936</v>
      </c>
      <c r="C42" s="2">
        <v>695</v>
      </c>
      <c r="D42" s="2">
        <v>25</v>
      </c>
      <c r="E42" s="3">
        <v>6.6299999999999998E-2</v>
      </c>
      <c r="F42" s="2">
        <v>2563</v>
      </c>
      <c r="G42" s="20">
        <v>5532.9567999999999</v>
      </c>
      <c r="H42" s="6">
        <v>39468.9568</v>
      </c>
      <c r="I42" s="12">
        <v>19</v>
      </c>
      <c r="J42" s="4">
        <v>41</v>
      </c>
      <c r="K42" s="4">
        <v>46</v>
      </c>
      <c r="L42" s="4">
        <v>23</v>
      </c>
      <c r="M42" s="4">
        <v>37</v>
      </c>
      <c r="N42" s="26">
        <v>32.549999999999997</v>
      </c>
      <c r="O42" s="13">
        <v>41</v>
      </c>
    </row>
    <row r="43" spans="1:15" x14ac:dyDescent="0.2">
      <c r="A43" s="5" t="s">
        <v>18</v>
      </c>
      <c r="B43" s="2">
        <v>36343</v>
      </c>
      <c r="C43" s="2">
        <v>129</v>
      </c>
      <c r="D43" s="2">
        <v>17</v>
      </c>
      <c r="E43" s="3">
        <v>6.5000000000000002E-2</v>
      </c>
      <c r="F43" s="2">
        <v>2193</v>
      </c>
      <c r="G43" s="20">
        <v>4701.2950000000001</v>
      </c>
      <c r="H43" s="6">
        <v>41044.294999999998</v>
      </c>
      <c r="I43" s="12">
        <v>44</v>
      </c>
      <c r="J43" s="4">
        <v>38</v>
      </c>
      <c r="K43" s="4">
        <v>3</v>
      </c>
      <c r="L43" s="4">
        <v>8</v>
      </c>
      <c r="M43" s="4">
        <v>26</v>
      </c>
      <c r="N43" s="26">
        <v>32.949999999999903</v>
      </c>
      <c r="O43" s="13">
        <v>42</v>
      </c>
    </row>
    <row r="44" spans="1:15" x14ac:dyDescent="0.2">
      <c r="A44" s="5" t="s">
        <v>32</v>
      </c>
      <c r="B44" s="2">
        <v>35893</v>
      </c>
      <c r="C44" s="2">
        <v>425</v>
      </c>
      <c r="D44" s="2">
        <v>15</v>
      </c>
      <c r="E44" s="3">
        <v>4.4499999999999998E-2</v>
      </c>
      <c r="F44" s="2">
        <v>3626</v>
      </c>
      <c r="G44" s="20">
        <v>5663.2385000000004</v>
      </c>
      <c r="H44" s="6">
        <v>41556.238499999999</v>
      </c>
      <c r="I44" s="12">
        <v>41</v>
      </c>
      <c r="J44" s="4">
        <v>17</v>
      </c>
      <c r="K44" s="4">
        <v>28</v>
      </c>
      <c r="L44" s="4">
        <v>5</v>
      </c>
      <c r="M44" s="4">
        <v>48</v>
      </c>
      <c r="N44" s="26">
        <v>33.449999999999903</v>
      </c>
      <c r="O44" s="13">
        <v>43</v>
      </c>
    </row>
    <row r="45" spans="1:15" x14ac:dyDescent="0.2">
      <c r="A45" s="5" t="s">
        <v>57</v>
      </c>
      <c r="B45" s="2">
        <v>35061</v>
      </c>
      <c r="C45" s="2">
        <v>150</v>
      </c>
      <c r="D45" s="2">
        <v>50.8</v>
      </c>
      <c r="E45" s="3">
        <v>6.25E-2</v>
      </c>
      <c r="F45" s="2">
        <v>2627</v>
      </c>
      <c r="G45" s="20">
        <v>5019.1125000000002</v>
      </c>
      <c r="H45" s="6">
        <v>40080.112500000003</v>
      </c>
      <c r="I45" s="12">
        <v>31</v>
      </c>
      <c r="J45" s="4">
        <v>35</v>
      </c>
      <c r="K45" s="4">
        <v>4</v>
      </c>
      <c r="L45" s="4">
        <v>44</v>
      </c>
      <c r="M45" s="4">
        <v>39</v>
      </c>
      <c r="N45" s="26">
        <v>33.9</v>
      </c>
      <c r="O45" s="13">
        <v>44</v>
      </c>
    </row>
    <row r="46" spans="1:15" x14ac:dyDescent="0.2">
      <c r="A46" s="5" t="s">
        <v>23</v>
      </c>
      <c r="B46" s="2">
        <v>34519</v>
      </c>
      <c r="C46" s="2">
        <v>999</v>
      </c>
      <c r="D46" s="2">
        <v>35.1</v>
      </c>
      <c r="E46" s="3">
        <v>0.06</v>
      </c>
      <c r="F46" s="2">
        <v>3950</v>
      </c>
      <c r="G46" s="20">
        <v>7055.24</v>
      </c>
      <c r="H46" s="6">
        <v>41574.239999999998</v>
      </c>
      <c r="I46" s="12">
        <v>25</v>
      </c>
      <c r="J46" s="4">
        <v>27</v>
      </c>
      <c r="K46" s="4">
        <v>50</v>
      </c>
      <c r="L46" s="4">
        <v>39</v>
      </c>
      <c r="M46" s="4">
        <v>50</v>
      </c>
      <c r="N46" s="26">
        <v>35.049999999999997</v>
      </c>
      <c r="O46" s="13">
        <v>45</v>
      </c>
    </row>
    <row r="47" spans="1:15" x14ac:dyDescent="0.2">
      <c r="A47" s="5" t="s">
        <v>27</v>
      </c>
      <c r="B47" s="2">
        <v>35217</v>
      </c>
      <c r="C47" s="2">
        <v>347</v>
      </c>
      <c r="D47" s="2">
        <v>48</v>
      </c>
      <c r="E47" s="3">
        <v>7.2499999999999995E-2</v>
      </c>
      <c r="F47" s="2">
        <v>2316</v>
      </c>
      <c r="G47" s="20">
        <v>5264.2325000000001</v>
      </c>
      <c r="H47" s="6">
        <v>40481.232499999998</v>
      </c>
      <c r="I47" s="12">
        <v>34</v>
      </c>
      <c r="J47" s="4">
        <v>48</v>
      </c>
      <c r="K47" s="4">
        <v>22</v>
      </c>
      <c r="L47" s="4">
        <v>43</v>
      </c>
      <c r="M47" s="4">
        <v>30</v>
      </c>
      <c r="N47" s="26">
        <v>36.849999999999902</v>
      </c>
      <c r="O47" s="13">
        <v>46</v>
      </c>
    </row>
    <row r="48" spans="1:15" x14ac:dyDescent="0.2">
      <c r="A48" s="5" t="s">
        <v>30</v>
      </c>
      <c r="B48" s="2">
        <v>35323</v>
      </c>
      <c r="C48" s="2">
        <v>499</v>
      </c>
      <c r="D48" s="2">
        <v>27.25</v>
      </c>
      <c r="E48" s="3">
        <v>6.5000000000000002E-2</v>
      </c>
      <c r="F48" s="2">
        <v>2630</v>
      </c>
      <c r="G48" s="20">
        <v>5452.2449999999999</v>
      </c>
      <c r="H48" s="6">
        <v>40775.245000000003</v>
      </c>
      <c r="I48" s="12">
        <v>36</v>
      </c>
      <c r="J48" s="4">
        <v>38</v>
      </c>
      <c r="K48" s="4">
        <v>35</v>
      </c>
      <c r="L48" s="4">
        <v>27</v>
      </c>
      <c r="M48" s="4">
        <v>40</v>
      </c>
      <c r="N48" s="26">
        <v>37.299999999999997</v>
      </c>
      <c r="O48" s="13">
        <v>47</v>
      </c>
    </row>
    <row r="49" spans="1:15" x14ac:dyDescent="0.2">
      <c r="A49" s="5" t="s">
        <v>24</v>
      </c>
      <c r="B49" s="2">
        <v>36016</v>
      </c>
      <c r="C49" s="7">
        <v>599</v>
      </c>
      <c r="D49" s="2">
        <v>20</v>
      </c>
      <c r="E49" s="3">
        <v>7.0000000000000007E-2</v>
      </c>
      <c r="F49" s="2">
        <v>2610</v>
      </c>
      <c r="G49" s="20">
        <v>5750.12</v>
      </c>
      <c r="H49" s="6">
        <v>41766.120000000003</v>
      </c>
      <c r="I49" s="12">
        <v>42</v>
      </c>
      <c r="J49" s="4">
        <v>44</v>
      </c>
      <c r="K49" s="4">
        <v>43</v>
      </c>
      <c r="L49" s="4">
        <v>9</v>
      </c>
      <c r="M49" s="4">
        <v>38</v>
      </c>
      <c r="N49" s="26">
        <v>39.799999999999997</v>
      </c>
      <c r="O49" s="13">
        <v>48</v>
      </c>
    </row>
    <row r="50" spans="1:15" x14ac:dyDescent="0.2">
      <c r="A50" s="5" t="s">
        <v>19</v>
      </c>
      <c r="B50" s="2">
        <v>35759</v>
      </c>
      <c r="C50" s="2">
        <v>85</v>
      </c>
      <c r="D50" s="2">
        <v>28</v>
      </c>
      <c r="E50" s="3">
        <v>7.2499999999999995E-2</v>
      </c>
      <c r="F50" s="2">
        <v>2692</v>
      </c>
      <c r="G50" s="20">
        <v>5397.5275000000001</v>
      </c>
      <c r="H50" s="6">
        <v>41156.527499999997</v>
      </c>
      <c r="I50" s="12">
        <v>40</v>
      </c>
      <c r="J50" s="4">
        <v>48</v>
      </c>
      <c r="K50" s="4">
        <v>1</v>
      </c>
      <c r="L50" s="4">
        <v>28</v>
      </c>
      <c r="M50" s="4">
        <v>43</v>
      </c>
      <c r="N50" s="26">
        <v>40.749999999999901</v>
      </c>
      <c r="O50" s="13">
        <v>49</v>
      </c>
    </row>
    <row r="51" spans="1:15" x14ac:dyDescent="0.2">
      <c r="A51" s="8" t="s">
        <v>42</v>
      </c>
      <c r="B51" s="9">
        <v>34859</v>
      </c>
      <c r="C51" s="9">
        <v>499</v>
      </c>
      <c r="D51" s="9">
        <v>33</v>
      </c>
      <c r="E51" s="10">
        <v>8.2500000000000004E-2</v>
      </c>
      <c r="F51" s="9">
        <v>3564</v>
      </c>
      <c r="G51" s="20">
        <v>6971.8675000000003</v>
      </c>
      <c r="H51" s="11">
        <v>41830.8675</v>
      </c>
      <c r="I51" s="14">
        <v>29</v>
      </c>
      <c r="J51" s="15">
        <v>50</v>
      </c>
      <c r="K51" s="15">
        <v>35</v>
      </c>
      <c r="L51" s="15">
        <v>35</v>
      </c>
      <c r="M51" s="15">
        <v>47</v>
      </c>
      <c r="N51" s="27">
        <v>41.3</v>
      </c>
      <c r="O51" s="16">
        <v>50</v>
      </c>
    </row>
  </sheetData>
  <conditionalFormatting sqref="A2:O51">
    <cfRule type="expression" dxfId="3" priority="2">
      <formula>$O2:$O51 &lt; 11</formula>
    </cfRule>
    <cfRule type="expression" dxfId="2" priority="1">
      <formula>$O2:$O51 &gt; 39</formula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used_car_affordability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Emily Nguyen</dc:creator>
  <cp:lastModifiedBy>Emily Nguyen</cp:lastModifiedBy>
  <dcterms:created xsi:type="dcterms:W3CDTF">2025-09-25T04:15:02Z</dcterms:created>
  <dcterms:modified xsi:type="dcterms:W3CDTF">2025-09-25T08:23:22Z</dcterms:modified>
</cp:coreProperties>
</file>